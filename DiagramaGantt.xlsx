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8eae290e31edaf6/Horario_EKIRIA/"/>
    </mc:Choice>
  </mc:AlternateContent>
  <xr:revisionPtr revIDLastSave="1" documentId="13_ncr:1_{5E7C2C50-3690-41BA-913F-D3AE4B526E51}" xr6:coauthVersionLast="47" xr6:coauthVersionMax="47" xr10:uidLastSave="{E12FAFE2-80F5-44ED-9E76-DFA7FDFD59DD}"/>
  <bookViews>
    <workbookView xWindow="-120" yWindow="330" windowWidth="19440" windowHeight="1059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<sst xmlns="http://schemas.openxmlformats.org/spreadsheetml/2006/main" count="20" uniqueCount="19">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</sst>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0" fillId="0" borderId="9" xfId="0" applyNumberFormat="1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0" fillId="0" borderId="0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  <xf numFmtId="0" fontId="0" fillId="0" borderId="12" xfId="0" applyBorder="1"/>
    <xf numFmtId="164" fontId="0" fillId="0" borderId="12" xfId="0" applyNumberFormat="1" applyFont="1" applyBorder="1" applyAlignment="1">
      <alignment horizontal="center"/>
    </xf>
    <xf numFmtId="0" fontId="9" fillId="0" borderId="13" xfId="0" applyFont="1" applyBorder="1" applyAlignment="1">
      <alignment wrapText="1"/>
    </xf>
    <xf numFmtId="0" fontId="0" fillId="0" borderId="14" xfId="0" applyBorder="1"/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164" fontId="2" fillId="0" borderId="14" xfId="0" applyNumberFormat="1" applyFont="1" applyBorder="1"/>
    <xf numFmtId="164" fontId="6" fillId="0" borderId="14" xfId="0" applyNumberFormat="1" applyFont="1" applyBorder="1"/>
  </cellXfs>
  <cellStyles count="1"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120" page="1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22"/>
  <sheetViews>
    <sheetView showGridLines="0" tabSelected="1" zoomScale="98" zoomScaleNormal="98" workbookViewId="0">
      <pane ySplit="6" topLeftCell="A7" activePane="bottomLeft" state="frozen"/>
      <selection pane="bottomLeft" activeCell="B14" sqref="B14"/>
    </sheetView>
  </sheetViews>
  <sheetFormatPr baseColWidth="10" defaultColWidth="11.42578125" defaultRowHeight="15" x14ac:dyDescent="0.25"/>
  <cols>
    <col min="1" max="1" width="36.4257812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22" t="s">
        <v>0</v>
      </c>
      <c r="B1" s="23"/>
    </row>
    <row r="2" spans="1:37" x14ac:dyDescent="0.25">
      <c r="A2" s="23"/>
      <c r="B2" s="23"/>
    </row>
    <row r="3" spans="1:37" ht="27.75" customHeight="1" x14ac:dyDescent="0.25">
      <c r="A3" s="23"/>
      <c r="B3" s="23"/>
    </row>
    <row r="4" spans="1:37" ht="20.100000000000001" customHeight="1" x14ac:dyDescent="0.25">
      <c r="D4" s="17">
        <v>0</v>
      </c>
      <c r="E4" s="18">
        <f>D5+D4</f>
        <v>44470</v>
      </c>
      <c r="G4" s="19">
        <f>G5</f>
        <v>44470</v>
      </c>
      <c r="H4" s="20"/>
      <c r="I4" s="20"/>
      <c r="J4" s="20"/>
      <c r="K4" s="20"/>
      <c r="L4" s="20"/>
      <c r="M4" s="21"/>
      <c r="N4" s="19">
        <f>N5</f>
        <v>44477</v>
      </c>
      <c r="O4" s="20"/>
      <c r="P4" s="20"/>
      <c r="Q4" s="20"/>
      <c r="R4" s="20"/>
      <c r="S4" s="20"/>
      <c r="T4" s="21"/>
      <c r="U4" s="19">
        <f>U5</f>
        <v>44484</v>
      </c>
      <c r="V4" s="20"/>
      <c r="W4" s="20"/>
      <c r="X4" s="20"/>
      <c r="Y4" s="20"/>
      <c r="Z4" s="20"/>
      <c r="AA4" s="21"/>
      <c r="AB4" s="26">
        <f>AB5</f>
        <v>44491</v>
      </c>
      <c r="AC4" s="27"/>
      <c r="AD4" s="27"/>
      <c r="AE4" s="27"/>
      <c r="AF4" s="27"/>
      <c r="AG4" s="27"/>
      <c r="AH4" s="28"/>
      <c r="AI4" s="19">
        <f>AI5</f>
        <v>44498</v>
      </c>
      <c r="AJ4" s="20"/>
      <c r="AK4" s="21"/>
    </row>
    <row r="5" spans="1:37" x14ac:dyDescent="0.25">
      <c r="B5" s="12"/>
      <c r="C5" s="13" t="s">
        <v>1</v>
      </c>
      <c r="D5" s="24">
        <v>44470</v>
      </c>
      <c r="E5" s="25"/>
      <c r="F5" s="6"/>
      <c r="G5" s="3">
        <f>E4</f>
        <v>44470</v>
      </c>
      <c r="H5" s="4">
        <f>G5+1</f>
        <v>44471</v>
      </c>
      <c r="I5" s="4">
        <f t="shared" ref="I5:AH5" si="0">H5+1</f>
        <v>44472</v>
      </c>
      <c r="J5" s="4">
        <f t="shared" si="0"/>
        <v>44473</v>
      </c>
      <c r="K5" s="4">
        <f t="shared" si="0"/>
        <v>44474</v>
      </c>
      <c r="L5" s="4">
        <f t="shared" si="0"/>
        <v>44475</v>
      </c>
      <c r="M5" s="5">
        <f t="shared" si="0"/>
        <v>44476</v>
      </c>
      <c r="N5" s="3">
        <f>M5+1</f>
        <v>44477</v>
      </c>
      <c r="O5" s="4">
        <f t="shared" si="0"/>
        <v>44478</v>
      </c>
      <c r="P5" s="4">
        <f t="shared" si="0"/>
        <v>44479</v>
      </c>
      <c r="Q5" s="4">
        <f t="shared" si="0"/>
        <v>44480</v>
      </c>
      <c r="R5" s="4">
        <f t="shared" si="0"/>
        <v>44481</v>
      </c>
      <c r="S5" s="4">
        <f t="shared" si="0"/>
        <v>44482</v>
      </c>
      <c r="T5" s="5">
        <f t="shared" si="0"/>
        <v>44483</v>
      </c>
      <c r="U5" s="3">
        <f>T5+1</f>
        <v>44484</v>
      </c>
      <c r="V5" s="4">
        <f t="shared" si="0"/>
        <v>44485</v>
      </c>
      <c r="W5" s="4">
        <f t="shared" si="0"/>
        <v>44486</v>
      </c>
      <c r="X5" s="4">
        <f t="shared" si="0"/>
        <v>44487</v>
      </c>
      <c r="Y5" s="4">
        <f t="shared" si="0"/>
        <v>44488</v>
      </c>
      <c r="Z5" s="4">
        <f t="shared" si="0"/>
        <v>44489</v>
      </c>
      <c r="AA5" s="5">
        <f t="shared" si="0"/>
        <v>44490</v>
      </c>
      <c r="AB5" s="4">
        <f t="shared" si="0"/>
        <v>44491</v>
      </c>
      <c r="AC5" s="4">
        <f t="shared" si="0"/>
        <v>44492</v>
      </c>
      <c r="AD5" s="4">
        <f t="shared" si="0"/>
        <v>44493</v>
      </c>
      <c r="AE5" s="4">
        <f t="shared" si="0"/>
        <v>44494</v>
      </c>
      <c r="AF5" s="4">
        <f t="shared" si="0"/>
        <v>44495</v>
      </c>
      <c r="AG5" s="4">
        <f t="shared" si="0"/>
        <v>44496</v>
      </c>
      <c r="AH5" s="4">
        <f t="shared" si="0"/>
        <v>44497</v>
      </c>
      <c r="AI5" s="15">
        <f t="shared" ref="AI5:AK5" si="1">AH5+1</f>
        <v>44498</v>
      </c>
      <c r="AJ5" s="14">
        <f t="shared" si="1"/>
        <v>44499</v>
      </c>
      <c r="AK5" s="16">
        <f t="shared" si="1"/>
        <v>44500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V</v>
      </c>
      <c r="H6" s="2" t="str">
        <f t="shared" ref="H6:AH6" si="2">UPPER(LEFT(TEXT(H5,"ddd"),1))</f>
        <v>S</v>
      </c>
      <c r="I6" s="2" t="str">
        <f>UPPER(LEFT(TEXT(I5,"ddd"),1))</f>
        <v>D</v>
      </c>
      <c r="J6" s="2" t="str">
        <f t="shared" si="2"/>
        <v>L</v>
      </c>
      <c r="K6" s="2" t="str">
        <f t="shared" si="2"/>
        <v>M</v>
      </c>
      <c r="L6" s="2" t="str">
        <f t="shared" si="2"/>
        <v>M</v>
      </c>
      <c r="M6" s="2" t="str">
        <f t="shared" si="2"/>
        <v>J</v>
      </c>
      <c r="N6" s="2" t="str">
        <f t="shared" si="2"/>
        <v>V</v>
      </c>
      <c r="O6" s="2" t="str">
        <f t="shared" si="2"/>
        <v>S</v>
      </c>
      <c r="P6" s="2" t="str">
        <f t="shared" si="2"/>
        <v>D</v>
      </c>
      <c r="Q6" s="2" t="str">
        <f t="shared" si="2"/>
        <v>L</v>
      </c>
      <c r="R6" s="2" t="str">
        <f t="shared" si="2"/>
        <v>M</v>
      </c>
      <c r="S6" s="2" t="str">
        <f t="shared" si="2"/>
        <v>M</v>
      </c>
      <c r="T6" s="2" t="str">
        <f t="shared" si="2"/>
        <v>J</v>
      </c>
      <c r="U6" s="2" t="str">
        <f t="shared" si="2"/>
        <v>V</v>
      </c>
      <c r="V6" s="2" t="str">
        <f t="shared" si="2"/>
        <v>S</v>
      </c>
      <c r="W6" s="2" t="str">
        <f t="shared" si="2"/>
        <v>D</v>
      </c>
      <c r="X6" s="2" t="str">
        <f t="shared" si="2"/>
        <v>L</v>
      </c>
      <c r="Y6" s="2" t="str">
        <f t="shared" si="2"/>
        <v>M</v>
      </c>
      <c r="Z6" s="2" t="str">
        <f t="shared" si="2"/>
        <v>M</v>
      </c>
      <c r="AA6" s="2" t="str">
        <f t="shared" si="2"/>
        <v>J</v>
      </c>
      <c r="AB6" s="2" t="str">
        <f t="shared" si="2"/>
        <v>V</v>
      </c>
      <c r="AC6" s="2" t="str">
        <f t="shared" si="2"/>
        <v>S</v>
      </c>
      <c r="AD6" s="2" t="str">
        <f t="shared" si="2"/>
        <v>D</v>
      </c>
      <c r="AE6" s="2" t="str">
        <f t="shared" si="2"/>
        <v>L</v>
      </c>
      <c r="AF6" s="2" t="str">
        <f t="shared" si="2"/>
        <v>M</v>
      </c>
      <c r="AG6" s="2" t="str">
        <f t="shared" si="2"/>
        <v>M</v>
      </c>
      <c r="AH6" s="2" t="str">
        <f t="shared" si="2"/>
        <v>J</v>
      </c>
      <c r="AI6" s="2" t="str">
        <f t="shared" ref="AI6" si="3">UPPER(LEFT(TEXT(AI5,"ddd"),1))</f>
        <v>V</v>
      </c>
      <c r="AJ6" s="2" t="str">
        <f t="shared" ref="AJ6" si="4">UPPER(LEFT(TEXT(AJ5,"ddd"),1))</f>
        <v>S</v>
      </c>
      <c r="AK6" s="2" t="str">
        <f t="shared" ref="AK6" si="5">UPPER(LEFT(TEXT(AK5,"ddd"),1))</f>
        <v>D</v>
      </c>
    </row>
    <row r="7" spans="1:37" x14ac:dyDescent="0.25">
      <c r="A7" s="32" t="s">
        <v>7</v>
      </c>
      <c r="B7" s="7"/>
      <c r="C7" s="8"/>
      <c r="D7" s="35"/>
      <c r="E7" s="36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 x14ac:dyDescent="0.25">
      <c r="A8" s="31" t="s">
        <v>14</v>
      </c>
      <c r="B8" s="7" t="s">
        <v>10</v>
      </c>
      <c r="C8" s="9">
        <v>0</v>
      </c>
      <c r="D8" s="33">
        <v>44480</v>
      </c>
      <c r="E8" s="33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31" t="s">
        <v>15</v>
      </c>
      <c r="B9" s="7" t="s">
        <v>10</v>
      </c>
      <c r="C9" s="9">
        <v>0</v>
      </c>
      <c r="D9" s="34">
        <v>44483</v>
      </c>
      <c r="E9" s="34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31" t="s">
        <v>16</v>
      </c>
      <c r="B10" s="7" t="s">
        <v>11</v>
      </c>
      <c r="C10" s="9">
        <v>0.25</v>
      </c>
      <c r="D10" s="34">
        <v>44487</v>
      </c>
      <c r="E10" s="34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31" t="s">
        <v>17</v>
      </c>
      <c r="B11" s="7" t="s">
        <v>12</v>
      </c>
      <c r="C11" s="9">
        <v>0</v>
      </c>
      <c r="D11" s="34">
        <v>44487</v>
      </c>
      <c r="E11" s="34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31" t="s">
        <v>18</v>
      </c>
      <c r="B12" s="7" t="s">
        <v>13</v>
      </c>
      <c r="C12" s="9">
        <v>0</v>
      </c>
      <c r="D12" s="33">
        <v>44493</v>
      </c>
      <c r="E12" s="33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A13" s="29" t="s">
        <v>8</v>
      </c>
      <c r="B13" s="7"/>
      <c r="C13" s="9"/>
      <c r="D13" s="30"/>
      <c r="E13" s="30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A14" s="7"/>
      <c r="B14" s="7"/>
      <c r="C14" s="9"/>
      <c r="D14" s="10"/>
      <c r="E14" s="10"/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/>
      <c r="B15" s="7"/>
      <c r="C15" s="9"/>
      <c r="D15" s="10"/>
      <c r="E15" s="10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/>
      <c r="B16" s="7"/>
      <c r="C16" s="9"/>
      <c r="D16" s="10"/>
      <c r="E16" s="10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/>
      <c r="B17" s="7"/>
      <c r="C17" s="9"/>
      <c r="D17" s="10"/>
      <c r="E17" s="10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/>
      <c r="B18" s="7"/>
      <c r="C18" s="9"/>
      <c r="D18" s="10"/>
      <c r="E18" s="10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7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3" priority="4">
      <formula>AND(G$5&gt;=$D7,G$5&lt;=$E7)</formula>
    </cfRule>
    <cfRule type="expression" dxfId="2" priority="1">
      <formula>G$5=TODAY()</formula>
    </cfRule>
  </conditionalFormatting>
  <conditionalFormatting sqref="AH7:AK18">
    <cfRule type="expression" dxfId="1" priority="9">
      <formula>AND(#REF!&gt;=$D7,#REF!&lt;=$E7)</formula>
    </cfRule>
  </conditionalFormatting>
  <conditionalFormatting sqref="G7:AK19">
    <cfRule type="expression" dxfId="0" priority="2">
      <formula>AND(G$5&gt;=$D7,G$5&lt;=((($E7-$D7+1)*$C7)+$D7-1))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David Soto Rivera</cp:lastModifiedBy>
  <cp:revision/>
  <dcterms:created xsi:type="dcterms:W3CDTF">2021-09-21T17:52:07Z</dcterms:created>
  <dcterms:modified xsi:type="dcterms:W3CDTF">2021-10-28T02:46:09Z</dcterms:modified>
  <cp:category/>
  <cp:contentStatus/>
</cp:coreProperties>
</file>